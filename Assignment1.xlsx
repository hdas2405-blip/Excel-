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318b7c4bfa3fcd/Documents/"/>
    </mc:Choice>
  </mc:AlternateContent>
  <xr:revisionPtr revIDLastSave="0" documentId="14_{5C477580-315B-446A-90D5-CEC75D0B8CBD}" xr6:coauthVersionLast="47" xr6:coauthVersionMax="47" xr10:uidLastSave="{00000000-0000-0000-0000-000000000000}"/>
  <bookViews>
    <workbookView xWindow="-108" yWindow="-108" windowWidth="23256" windowHeight="12456" activeTab="1" xr2:uid="{EA3629BB-832A-405A-A487-63012C24B783}"/>
  </bookViews>
  <sheets>
    <sheet name="Sheet1" sheetId="1" r:id="rId1"/>
    <sheet name="Sheet2" sheetId="2" r:id="rId2"/>
  </sheets>
  <definedNames>
    <definedName name="_xlnm._FilterDatabase" localSheetId="1" hidden="1">Sheet2!$A$1:$S$51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2" l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" i="2"/>
  <c r="H4" i="2"/>
  <c r="H5" i="2"/>
  <c r="H6" i="2"/>
  <c r="H7" i="2"/>
  <c r="H8" i="2"/>
  <c r="H2" i="2"/>
  <c r="L3" i="2"/>
  <c r="D9" i="1"/>
  <c r="C3" i="1"/>
</calcChain>
</file>

<file path=xl/sharedStrings.xml><?xml version="1.0" encoding="utf-8"?>
<sst xmlns="http://schemas.openxmlformats.org/spreadsheetml/2006/main" count="189" uniqueCount="96">
  <si>
    <t>Auto-Rickshaw</t>
  </si>
  <si>
    <t xml:space="preserve">Vehicle </t>
  </si>
  <si>
    <t>price</t>
  </si>
  <si>
    <t xml:space="preserve">bicycle </t>
  </si>
  <si>
    <t>car</t>
  </si>
  <si>
    <t xml:space="preserve">2.write a formula to calculate the total sales of Car and Bicyle only </t>
  </si>
  <si>
    <t>3.Using the data below, write a formula to calculate the average sales of items priced above 100 but less than 300:</t>
  </si>
  <si>
    <t xml:space="preserve">Item </t>
  </si>
  <si>
    <t xml:space="preserve">Price </t>
  </si>
  <si>
    <t>Sales</t>
  </si>
  <si>
    <t>Item A</t>
  </si>
  <si>
    <t>Item B</t>
  </si>
  <si>
    <t>Item C</t>
  </si>
  <si>
    <t>Total sale of car and bicycle</t>
  </si>
  <si>
    <t>Average sales of item</t>
  </si>
  <si>
    <t>Formula</t>
  </si>
  <si>
    <t>Is equal to SUM(B3:B4)</t>
  </si>
  <si>
    <t xml:space="preserve">  Is equal to AVERAGEIFS(C9:C11,B9:B11,"&gt;100",B9:B11,"&lt;300")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</si>
  <si>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</si>
  <si>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</si>
  <si>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</si>
  <si>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</si>
  <si>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</si>
  <si>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</si>
  <si>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</si>
  <si>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</si>
  <si>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</si>
  <si>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</si>
  <si>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</si>
  <si>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</si>
  <si>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</si>
  <si>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</si>
  <si>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</si>
  <si>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</si>
  <si>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</si>
  <si>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</si>
  <si>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</si>
  <si>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</si>
  <si>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</si>
  <si>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</si>
  <si>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</si>
  <si>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</si>
  <si>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</si>
  <si>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</si>
  <si>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</si>
  <si>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</si>
  <si>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</si>
  <si>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</si>
  <si>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</si>
  <si>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</si>
  <si>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</si>
  <si>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</si>
  <si>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</si>
  <si>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</si>
  <si>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</si>
  <si>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</si>
  <si>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</si>
  <si>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</si>
  <si>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</si>
  <si>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</si>
  <si>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</si>
  <si>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</si>
  <si>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</si>
  <si>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</si>
  <si>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</si>
  <si>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</si>
  <si>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</si>
  <si>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</si>
  <si>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</si>
  <si>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</si>
  <si>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</si>
  <si>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</si>
  <si>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</si>
  <si>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</si>
  <si>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</si>
  <si>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</si>
  <si>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</si>
  <si>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</si>
  <si>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</si>
  <si>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</si>
  <si>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</si>
  <si>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</si>
  <si>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</si>
  <si>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</si>
  <si>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names are recorded</t>
  </si>
  <si>
    <t>Answer-</t>
  </si>
  <si>
    <t>Formula=counta(b2:b15)</t>
  </si>
  <si>
    <t>5.Calculate the Total Sales for each row using a formula.</t>
  </si>
  <si>
    <t>Total sale</t>
  </si>
  <si>
    <t>Is equal to PRODUCT(E2:F2) or use E2*F2</t>
  </si>
  <si>
    <t>6.Calculate the total sales of Notebooks in the North region only.</t>
  </si>
  <si>
    <t>Is equal to SUMIFS(H2:H51,C2:C51,C2,D2:D51,D2)</t>
  </si>
  <si>
    <t>Formula-</t>
  </si>
  <si>
    <t>sales of Notebooks in the North region 	=</t>
  </si>
  <si>
    <t>7.Create a column chart showing total sales by product.</t>
  </si>
  <si>
    <t>8.Insert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</si>
</sst>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1"/>
      <color theme="0" tint="-4.9989318521683403E-2"/>
      <name val="Trebuchet MS"/>
      <family val="2"/>
      <scheme val="minor"/>
    </font>
    <font>
      <b/>
      <u/>
      <sz val="11"/>
      <color theme="1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/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2" fillId="10" borderId="0" xfId="0" applyFont="1" applyFill="1"/>
    <xf numFmtId="0" fontId="2" fillId="0" borderId="0" xfId="0" applyFont="1"/>
    <xf numFmtId="0" fontId="0" fillId="9" borderId="0" xfId="0" applyFont="1" applyFill="1"/>
    <xf numFmtId="0" fontId="0" fillId="8" borderId="0" xfId="0" applyFont="1" applyFill="1"/>
    <xf numFmtId="0" fontId="0" fillId="2" borderId="0" xfId="0" applyFont="1" applyFill="1"/>
    <xf numFmtId="0" fontId="3" fillId="0" borderId="0" xfId="0" applyFont="1" applyAlignment="1">
      <alignment horizontal="center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0" borderId="0" xfId="0" applyFont="1" applyAlignment="1">
      <alignment horizontal="center"/>
    </xf>
    <xf numFmtId="0" fontId="1" fillId="1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/>
    <xf numFmtId="0" fontId="0" fillId="4" borderId="0" xfId="0" applyFill="1" applyAlignment="1">
      <alignment horizontal="center"/>
    </xf>
    <xf numFmtId="0" fontId="1" fillId="17" borderId="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19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4" fontId="5" fillId="18" borderId="4" xfId="0" applyNumberFormat="1" applyFont="1" applyFill="1" applyBorder="1" applyAlignment="1">
      <alignment horizontal="center" wrapText="1"/>
    </xf>
    <xf numFmtId="14" fontId="6" fillId="16" borderId="4" xfId="0" applyNumberFormat="1" applyFont="1" applyFill="1" applyBorder="1" applyAlignment="1">
      <alignment horizontal="center" wrapText="1"/>
    </xf>
    <xf numFmtId="0" fontId="0" fillId="18" borderId="2" xfId="0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0" borderId="0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2" xfId="0" applyFont="1" applyFill="1" applyBorder="1" applyAlignment="1">
      <alignment vertical="center"/>
    </xf>
    <xf numFmtId="0" fontId="1" fillId="17" borderId="0" xfId="0" applyFont="1" applyFill="1" applyAlignment="1"/>
    <xf numFmtId="0" fontId="1" fillId="6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C2-4110-A186-59B72E3B2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576480"/>
        <c:axId val="215683296"/>
      </c:barChart>
      <c:catAx>
        <c:axId val="455576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83296"/>
        <c:crosses val="autoZero"/>
        <c:auto val="1"/>
        <c:lblAlgn val="ctr"/>
        <c:lblOffset val="100"/>
        <c:noMultiLvlLbl val="0"/>
      </c:catAx>
      <c:valAx>
        <c:axId val="2156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7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Daily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 sale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Sheet2!$G$2:$G$51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16-4892-AE96-C0E83250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112256"/>
        <c:axId val="1110111296"/>
      </c:lineChart>
      <c:dateAx>
        <c:axId val="11101122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11296"/>
        <c:crosses val="autoZero"/>
        <c:auto val="1"/>
        <c:lblOffset val="100"/>
        <c:baseTimeUnit val="days"/>
      </c:dateAx>
      <c:valAx>
        <c:axId val="11101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11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12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C39AEA-2D00-D2AD-D8D6-BA5B043A9E26}"/>
            </a:ext>
          </a:extLst>
        </xdr:cNvPr>
        <xdr:cNvSpPr txBox="1"/>
      </xdr:nvSpPr>
      <xdr:spPr>
        <a:xfrm>
          <a:off x="1844040" y="23088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13</xdr:row>
      <xdr:rowOff>26670</xdr:rowOff>
    </xdr:from>
    <xdr:to>
      <xdr:col>16</xdr:col>
      <xdr:colOff>228600</xdr:colOff>
      <xdr:row>25</xdr:row>
      <xdr:rowOff>118110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365CC16-0015-1182-2C59-78EE77F4A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266700</xdr:colOff>
      <xdr:row>27</xdr:row>
      <xdr:rowOff>19050</xdr:rowOff>
    </xdr:from>
    <xdr:to>
      <xdr:col>18</xdr:col>
      <xdr:colOff>449580</xdr:colOff>
      <xdr:row>39</xdr:row>
      <xdr:rowOff>110490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F38A680-6816-3213-0B07-AD9A2F9AA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E815-DFC6-41DF-99C9-5F00EBB06323}">
  <dimension ref="A1:K11"/>
  <sheetViews>
    <sheetView workbookViewId="0">
      <selection activeCell="E9" sqref="E9:K9"/>
    </sheetView>
  </sheetViews>
  <sheetFormatPr defaultRowHeight="14.4" x14ac:dyDescent="0.3"/>
  <cols>
    <col min="1" max="1" width="13.109375" customWidth="1"/>
    <col min="2" max="2" width="7" customWidth="1"/>
    <col min="3" max="3" width="22.77734375" customWidth="1"/>
    <col min="4" max="4" width="20.21875" bestFit="1" customWidth="1"/>
  </cols>
  <sheetData>
    <row r="1" spans="1:11" x14ac:dyDescent="0.3">
      <c r="A1" s="3" t="s">
        <v>5</v>
      </c>
      <c r="B1" s="3"/>
      <c r="C1" s="3"/>
      <c r="D1" s="3"/>
      <c r="E1" s="3"/>
      <c r="F1" s="3"/>
      <c r="G1" s="3"/>
      <c r="H1" s="3"/>
    </row>
    <row r="2" spans="1:11" x14ac:dyDescent="0.3">
      <c r="A2" s="7" t="s">
        <v>1</v>
      </c>
      <c r="B2" s="7" t="s">
        <v>2</v>
      </c>
      <c r="C2" s="8" t="s">
        <v>13</v>
      </c>
      <c r="D2" s="18" t="s">
        <v>15</v>
      </c>
      <c r="E2" s="18"/>
      <c r="F2" s="18"/>
      <c r="G2" s="18"/>
    </row>
    <row r="3" spans="1:11" x14ac:dyDescent="0.3">
      <c r="A3" s="11" t="s">
        <v>4</v>
      </c>
      <c r="B3" s="11">
        <v>500000</v>
      </c>
      <c r="C3" s="9">
        <f>SUM(B3:B4)</f>
        <v>510500</v>
      </c>
      <c r="D3" s="2" t="s">
        <v>16</v>
      </c>
      <c r="E3" s="2"/>
      <c r="F3" s="2"/>
      <c r="G3" s="2"/>
      <c r="H3" s="2"/>
    </row>
    <row r="4" spans="1:11" x14ac:dyDescent="0.3">
      <c r="A4" s="12" t="s">
        <v>3</v>
      </c>
      <c r="B4" s="12">
        <v>10500</v>
      </c>
      <c r="C4" s="10"/>
    </row>
    <row r="5" spans="1:11" x14ac:dyDescent="0.3">
      <c r="A5" s="13" t="s">
        <v>0</v>
      </c>
      <c r="B5" s="13">
        <v>25000</v>
      </c>
      <c r="C5" s="10"/>
    </row>
    <row r="7" spans="1:11" x14ac:dyDescent="0.3">
      <c r="A7" s="5" t="s">
        <v>6</v>
      </c>
      <c r="B7" s="4"/>
      <c r="C7" s="4"/>
      <c r="D7" s="4"/>
      <c r="E7" s="4"/>
    </row>
    <row r="8" spans="1:11" x14ac:dyDescent="0.3">
      <c r="A8" s="6" t="s">
        <v>7</v>
      </c>
      <c r="B8" s="6" t="s">
        <v>8</v>
      </c>
      <c r="C8" s="6" t="s">
        <v>9</v>
      </c>
      <c r="D8" s="6" t="s">
        <v>14</v>
      </c>
      <c r="E8" s="14" t="s">
        <v>15</v>
      </c>
      <c r="F8" s="14"/>
      <c r="G8" s="14"/>
      <c r="H8" s="14"/>
      <c r="I8" s="14"/>
    </row>
    <row r="9" spans="1:11" x14ac:dyDescent="0.3">
      <c r="A9" s="15" t="s">
        <v>10</v>
      </c>
      <c r="B9" s="15">
        <v>90</v>
      </c>
      <c r="C9" s="15">
        <v>1000</v>
      </c>
      <c r="D9">
        <f>AVERAGEIFS(C9:C11,B9:B11,"&gt;100",B9:B11,"&lt;300")</f>
        <v>1350</v>
      </c>
      <c r="E9" s="2" t="s">
        <v>17</v>
      </c>
      <c r="F9" s="2"/>
      <c r="G9" s="2"/>
      <c r="H9" s="2"/>
      <c r="I9" s="2"/>
      <c r="J9" s="2"/>
      <c r="K9" s="2"/>
    </row>
    <row r="10" spans="1:11" x14ac:dyDescent="0.3">
      <c r="A10" s="16" t="s">
        <v>11</v>
      </c>
      <c r="B10" s="16">
        <v>150</v>
      </c>
      <c r="C10" s="16">
        <v>1200</v>
      </c>
    </row>
    <row r="11" spans="1:11" x14ac:dyDescent="0.3">
      <c r="A11" s="17" t="s">
        <v>12</v>
      </c>
      <c r="B11" s="17">
        <v>250</v>
      </c>
      <c r="C11" s="17">
        <v>1500</v>
      </c>
    </row>
  </sheetData>
  <mergeCells count="5">
    <mergeCell ref="A1:H1"/>
    <mergeCell ref="D3:H3"/>
    <mergeCell ref="D2:G2"/>
    <mergeCell ref="E9:K9"/>
    <mergeCell ref="E8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C66-5492-45A1-B524-B54FBDD86E01}">
  <dimension ref="A1:S51"/>
  <sheetViews>
    <sheetView tabSelected="1" topLeftCell="A5" workbookViewId="0">
      <selection activeCell="F25" sqref="F25"/>
    </sheetView>
  </sheetViews>
  <sheetFormatPr defaultRowHeight="17.399999999999999" customHeight="1" x14ac:dyDescent="0.3"/>
  <cols>
    <col min="1" max="1" width="8.88671875" style="1"/>
    <col min="2" max="2" width="17.6640625" style="1" customWidth="1"/>
    <col min="3" max="3" width="8.88671875" style="1"/>
    <col min="4" max="4" width="9.21875" style="1" bestFit="1" customWidth="1"/>
    <col min="5" max="5" width="8.88671875" style="1"/>
    <col min="6" max="6" width="8.6640625" style="1" bestFit="1" customWidth="1"/>
    <col min="7" max="7" width="15.109375" style="29" bestFit="1" customWidth="1"/>
    <col min="8" max="8" width="9.5546875" bestFit="1" customWidth="1"/>
    <col min="9" max="16384" width="8.88671875" style="1"/>
  </cols>
  <sheetData>
    <row r="1" spans="1:19" ht="17.399999999999999" customHeight="1" thickBot="1" x14ac:dyDescent="0.35">
      <c r="A1" s="27" t="s">
        <v>18</v>
      </c>
      <c r="B1" s="27" t="s">
        <v>19</v>
      </c>
      <c r="C1" s="27" t="s">
        <v>20</v>
      </c>
      <c r="D1" s="27" t="s">
        <v>21</v>
      </c>
      <c r="E1" s="27" t="s">
        <v>22</v>
      </c>
      <c r="F1" s="27" t="s">
        <v>23</v>
      </c>
      <c r="G1" s="33" t="s">
        <v>24</v>
      </c>
      <c r="H1" s="35" t="s">
        <v>88</v>
      </c>
      <c r="J1" s="19" t="s">
        <v>84</v>
      </c>
      <c r="K1" s="19"/>
      <c r="L1" s="19"/>
      <c r="M1" s="19"/>
      <c r="N1" s="19"/>
      <c r="O1" s="19"/>
      <c r="P1" s="19"/>
    </row>
    <row r="2" spans="1:19" ht="17.399999999999999" customHeight="1" thickBot="1" x14ac:dyDescent="0.35">
      <c r="A2" s="28">
        <v>1001</v>
      </c>
      <c r="B2" s="28" t="s">
        <v>25</v>
      </c>
      <c r="C2" s="28" t="s">
        <v>26</v>
      </c>
      <c r="D2" s="28" t="s">
        <v>27</v>
      </c>
      <c r="E2" s="28">
        <v>10</v>
      </c>
      <c r="F2" s="28">
        <v>50</v>
      </c>
      <c r="G2" s="34">
        <v>45296</v>
      </c>
      <c r="H2" s="36">
        <f>E2*F2</f>
        <v>500</v>
      </c>
      <c r="J2" s="22"/>
      <c r="K2" s="20" t="s">
        <v>86</v>
      </c>
      <c r="L2" s="20"/>
      <c r="M2" s="20"/>
      <c r="N2" s="20"/>
    </row>
    <row r="3" spans="1:19" ht="17.399999999999999" customHeight="1" thickBot="1" x14ac:dyDescent="0.35">
      <c r="A3" s="28">
        <v>1002</v>
      </c>
      <c r="B3" s="28" t="s">
        <v>28</v>
      </c>
      <c r="C3" s="28" t="s">
        <v>29</v>
      </c>
      <c r="D3" s="28" t="s">
        <v>30</v>
      </c>
      <c r="E3" s="28">
        <v>20</v>
      </c>
      <c r="F3" s="28">
        <v>10</v>
      </c>
      <c r="G3" s="34">
        <v>45297</v>
      </c>
      <c r="H3" s="36">
        <f t="shared" ref="H3:H51" si="0">E3*F3</f>
        <v>200</v>
      </c>
      <c r="K3" s="21" t="s">
        <v>85</v>
      </c>
      <c r="L3" s="23">
        <f>COUNTA(B2:B51)</f>
        <v>50</v>
      </c>
      <c r="M3" s="23"/>
    </row>
    <row r="4" spans="1:19" ht="17.399999999999999" customHeight="1" thickBot="1" x14ac:dyDescent="0.35">
      <c r="A4" s="28">
        <v>1003</v>
      </c>
      <c r="B4" s="28" t="s">
        <v>31</v>
      </c>
      <c r="C4" s="28" t="s">
        <v>32</v>
      </c>
      <c r="D4" s="28" t="s">
        <v>33</v>
      </c>
      <c r="E4" s="28">
        <v>15</v>
      </c>
      <c r="F4" s="28">
        <v>25</v>
      </c>
      <c r="G4" s="34">
        <v>45298</v>
      </c>
      <c r="H4" s="36">
        <f t="shared" si="0"/>
        <v>375</v>
      </c>
    </row>
    <row r="5" spans="1:19" ht="17.399999999999999" customHeight="1" thickBot="1" x14ac:dyDescent="0.35">
      <c r="A5" s="28">
        <v>1004</v>
      </c>
      <c r="B5" s="28" t="s">
        <v>34</v>
      </c>
      <c r="C5" s="28" t="s">
        <v>35</v>
      </c>
      <c r="D5" s="28" t="s">
        <v>27</v>
      </c>
      <c r="E5" s="28">
        <v>5</v>
      </c>
      <c r="F5" s="28">
        <v>50</v>
      </c>
      <c r="G5" s="34">
        <v>45299</v>
      </c>
      <c r="H5" s="36">
        <f t="shared" si="0"/>
        <v>250</v>
      </c>
      <c r="J5" s="30" t="s">
        <v>87</v>
      </c>
      <c r="K5" s="30"/>
      <c r="L5" s="30"/>
      <c r="M5" s="30"/>
      <c r="N5" s="30"/>
      <c r="O5" s="30"/>
      <c r="P5" s="30"/>
    </row>
    <row r="6" spans="1:19" ht="17.399999999999999" customHeight="1" thickBot="1" x14ac:dyDescent="0.35">
      <c r="A6" s="28">
        <v>1005</v>
      </c>
      <c r="B6" s="28" t="s">
        <v>36</v>
      </c>
      <c r="C6" s="28" t="s">
        <v>26</v>
      </c>
      <c r="D6" s="28" t="s">
        <v>37</v>
      </c>
      <c r="E6" s="28">
        <v>30</v>
      </c>
      <c r="F6" s="28">
        <v>5</v>
      </c>
      <c r="G6" s="34">
        <v>45301</v>
      </c>
      <c r="H6" s="36">
        <f t="shared" si="0"/>
        <v>150</v>
      </c>
      <c r="J6" s="24"/>
      <c r="K6" s="26" t="s">
        <v>15</v>
      </c>
      <c r="L6" s="26"/>
      <c r="M6" s="26"/>
      <c r="N6" s="26"/>
    </row>
    <row r="7" spans="1:19" ht="17.399999999999999" customHeight="1" thickBot="1" x14ac:dyDescent="0.35">
      <c r="A7" s="28">
        <v>1006</v>
      </c>
      <c r="B7" s="28" t="s">
        <v>38</v>
      </c>
      <c r="C7" s="28" t="s">
        <v>29</v>
      </c>
      <c r="D7" s="28" t="s">
        <v>27</v>
      </c>
      <c r="E7" s="28">
        <v>12</v>
      </c>
      <c r="F7" s="28">
        <v>50</v>
      </c>
      <c r="G7" s="34">
        <v>45302</v>
      </c>
      <c r="H7" s="36">
        <f t="shared" si="0"/>
        <v>600</v>
      </c>
      <c r="J7" s="31" t="s">
        <v>89</v>
      </c>
      <c r="K7" s="32"/>
      <c r="L7" s="32"/>
      <c r="M7" s="32"/>
      <c r="N7" s="32"/>
      <c r="O7" s="32"/>
      <c r="P7" s="32"/>
    </row>
    <row r="8" spans="1:19" ht="17.399999999999999" customHeight="1" thickBot="1" x14ac:dyDescent="0.35">
      <c r="A8" s="28">
        <v>1007</v>
      </c>
      <c r="B8" s="28" t="s">
        <v>39</v>
      </c>
      <c r="C8" s="28" t="s">
        <v>32</v>
      </c>
      <c r="D8" s="28" t="s">
        <v>40</v>
      </c>
      <c r="E8" s="28">
        <v>25</v>
      </c>
      <c r="F8" s="28">
        <v>8</v>
      </c>
      <c r="G8" s="34">
        <v>45304</v>
      </c>
      <c r="H8" s="36">
        <f t="shared" si="0"/>
        <v>200</v>
      </c>
      <c r="J8" s="25"/>
    </row>
    <row r="9" spans="1:19" ht="17.399999999999999" customHeight="1" thickBot="1" x14ac:dyDescent="0.35">
      <c r="A9" s="28">
        <v>1008</v>
      </c>
      <c r="B9" s="28" t="s">
        <v>41</v>
      </c>
      <c r="C9" s="28" t="s">
        <v>35</v>
      </c>
      <c r="D9" s="28" t="s">
        <v>30</v>
      </c>
      <c r="E9" s="28">
        <v>18</v>
      </c>
      <c r="F9" s="28">
        <v>10</v>
      </c>
      <c r="G9" s="34">
        <v>45306</v>
      </c>
      <c r="H9" s="36">
        <f t="shared" si="0"/>
        <v>180</v>
      </c>
      <c r="J9" s="37" t="s">
        <v>90</v>
      </c>
      <c r="K9" s="38"/>
      <c r="L9" s="38"/>
      <c r="M9" s="38"/>
      <c r="N9" s="38"/>
      <c r="O9" s="38"/>
      <c r="P9" s="38"/>
    </row>
    <row r="10" spans="1:19" ht="17.399999999999999" customHeight="1" thickBot="1" x14ac:dyDescent="0.35">
      <c r="A10" s="28">
        <v>1009</v>
      </c>
      <c r="B10" s="28" t="s">
        <v>42</v>
      </c>
      <c r="C10" s="28" t="s">
        <v>26</v>
      </c>
      <c r="D10" s="28" t="s">
        <v>33</v>
      </c>
      <c r="E10" s="28">
        <v>22</v>
      </c>
      <c r="F10" s="28">
        <v>25</v>
      </c>
      <c r="G10" s="34">
        <v>45308</v>
      </c>
      <c r="H10" s="36">
        <f t="shared" si="0"/>
        <v>550</v>
      </c>
      <c r="J10" s="42" t="s">
        <v>92</v>
      </c>
      <c r="K10" s="41" t="s">
        <v>91</v>
      </c>
      <c r="L10" s="39"/>
      <c r="M10" s="39"/>
      <c r="N10" s="39"/>
      <c r="O10" s="39"/>
      <c r="P10" s="39"/>
      <c r="Q10" s="43"/>
      <c r="R10" s="43"/>
      <c r="S10" s="43"/>
    </row>
    <row r="11" spans="1:19" ht="17.399999999999999" customHeight="1" thickBot="1" x14ac:dyDescent="0.35">
      <c r="A11" s="28">
        <v>1010</v>
      </c>
      <c r="B11" s="28" t="s">
        <v>43</v>
      </c>
      <c r="C11" s="28" t="s">
        <v>29</v>
      </c>
      <c r="D11" s="28" t="s">
        <v>27</v>
      </c>
      <c r="E11" s="28">
        <v>8</v>
      </c>
      <c r="F11" s="28">
        <v>50</v>
      </c>
      <c r="G11" s="34">
        <v>45309</v>
      </c>
      <c r="H11" s="36">
        <f t="shared" si="0"/>
        <v>400</v>
      </c>
      <c r="J11" s="39" t="s">
        <v>93</v>
      </c>
      <c r="K11" s="39"/>
      <c r="L11" s="39"/>
      <c r="M11" s="39"/>
      <c r="N11" s="39"/>
      <c r="O11" s="40">
        <f>SUMIFS(H2:H51,C2:C51,C2,D2:D51,D2)</f>
        <v>2900</v>
      </c>
    </row>
    <row r="12" spans="1:19" ht="17.399999999999999" customHeight="1" thickBot="1" x14ac:dyDescent="0.35">
      <c r="A12" s="28">
        <v>1011</v>
      </c>
      <c r="B12" s="28" t="s">
        <v>44</v>
      </c>
      <c r="C12" s="28" t="s">
        <v>32</v>
      </c>
      <c r="D12" s="28" t="s">
        <v>37</v>
      </c>
      <c r="E12" s="28">
        <v>40</v>
      </c>
      <c r="F12" s="28">
        <v>5</v>
      </c>
      <c r="G12" s="34">
        <v>45310</v>
      </c>
      <c r="H12" s="36">
        <f t="shared" si="0"/>
        <v>200</v>
      </c>
    </row>
    <row r="13" spans="1:19" ht="17.399999999999999" customHeight="1" thickBot="1" x14ac:dyDescent="0.35">
      <c r="A13" s="28">
        <v>1012</v>
      </c>
      <c r="B13" s="28" t="s">
        <v>45</v>
      </c>
      <c r="C13" s="28" t="s">
        <v>35</v>
      </c>
      <c r="D13" s="28" t="s">
        <v>40</v>
      </c>
      <c r="E13" s="28">
        <v>35</v>
      </c>
      <c r="F13" s="28">
        <v>8</v>
      </c>
      <c r="G13" s="34">
        <v>45311</v>
      </c>
      <c r="H13" s="36">
        <f t="shared" si="0"/>
        <v>280</v>
      </c>
      <c r="J13" s="44" t="s">
        <v>94</v>
      </c>
      <c r="K13" s="44"/>
      <c r="L13" s="44"/>
      <c r="M13" s="44"/>
      <c r="N13" s="44"/>
      <c r="O13" s="44"/>
      <c r="P13" s="44"/>
    </row>
    <row r="14" spans="1:19" ht="17.399999999999999" customHeight="1" thickBot="1" x14ac:dyDescent="0.35">
      <c r="A14" s="28">
        <v>1013</v>
      </c>
      <c r="B14" s="28" t="s">
        <v>46</v>
      </c>
      <c r="C14" s="28" t="s">
        <v>26</v>
      </c>
      <c r="D14" s="28" t="s">
        <v>27</v>
      </c>
      <c r="E14" s="28">
        <v>14</v>
      </c>
      <c r="F14" s="28">
        <v>50</v>
      </c>
      <c r="G14" s="34">
        <v>45313</v>
      </c>
      <c r="H14" s="36">
        <f t="shared" si="0"/>
        <v>700</v>
      </c>
    </row>
    <row r="15" spans="1:19" ht="17.399999999999999" customHeight="1" thickBot="1" x14ac:dyDescent="0.35">
      <c r="A15" s="28">
        <v>1014</v>
      </c>
      <c r="B15" s="28" t="s">
        <v>47</v>
      </c>
      <c r="C15" s="28" t="s">
        <v>29</v>
      </c>
      <c r="D15" s="28" t="s">
        <v>30</v>
      </c>
      <c r="E15" s="28">
        <v>28</v>
      </c>
      <c r="F15" s="28">
        <v>10</v>
      </c>
      <c r="G15" s="34">
        <v>45314</v>
      </c>
      <c r="H15" s="36">
        <f t="shared" si="0"/>
        <v>280</v>
      </c>
    </row>
    <row r="16" spans="1:19" ht="17.399999999999999" customHeight="1" thickBot="1" x14ac:dyDescent="0.35">
      <c r="A16" s="28">
        <v>1015</v>
      </c>
      <c r="B16" s="28" t="s">
        <v>48</v>
      </c>
      <c r="C16" s="28" t="s">
        <v>32</v>
      </c>
      <c r="D16" s="28" t="s">
        <v>33</v>
      </c>
      <c r="E16" s="28">
        <v>12</v>
      </c>
      <c r="F16" s="28">
        <v>25</v>
      </c>
      <c r="G16" s="34">
        <v>45315</v>
      </c>
      <c r="H16" s="36">
        <f t="shared" si="0"/>
        <v>300</v>
      </c>
    </row>
    <row r="17" spans="1:16" ht="17.399999999999999" customHeight="1" thickBot="1" x14ac:dyDescent="0.35">
      <c r="A17" s="28">
        <v>1016</v>
      </c>
      <c r="B17" s="28" t="s">
        <v>49</v>
      </c>
      <c r="C17" s="28" t="s">
        <v>35</v>
      </c>
      <c r="D17" s="28" t="s">
        <v>37</v>
      </c>
      <c r="E17" s="28">
        <v>25</v>
      </c>
      <c r="F17" s="28">
        <v>5</v>
      </c>
      <c r="G17" s="34">
        <v>45317</v>
      </c>
      <c r="H17" s="36">
        <f t="shared" si="0"/>
        <v>125</v>
      </c>
    </row>
    <row r="18" spans="1:16" ht="17.399999999999999" customHeight="1" thickBot="1" x14ac:dyDescent="0.35">
      <c r="A18" s="28">
        <v>1017</v>
      </c>
      <c r="B18" s="28" t="s">
        <v>50</v>
      </c>
      <c r="C18" s="28" t="s">
        <v>26</v>
      </c>
      <c r="D18" s="28" t="s">
        <v>40</v>
      </c>
      <c r="E18" s="28">
        <v>20</v>
      </c>
      <c r="F18" s="28">
        <v>8</v>
      </c>
      <c r="G18" s="34">
        <v>45319</v>
      </c>
      <c r="H18" s="36">
        <f t="shared" si="0"/>
        <v>160</v>
      </c>
    </row>
    <row r="19" spans="1:16" ht="17.399999999999999" customHeight="1" thickBot="1" x14ac:dyDescent="0.35">
      <c r="A19" s="28">
        <v>1018</v>
      </c>
      <c r="B19" s="28" t="s">
        <v>51</v>
      </c>
      <c r="C19" s="28" t="s">
        <v>29</v>
      </c>
      <c r="D19" s="28" t="s">
        <v>27</v>
      </c>
      <c r="E19" s="28">
        <v>10</v>
      </c>
      <c r="F19" s="28">
        <v>50</v>
      </c>
      <c r="G19" s="34">
        <v>45320</v>
      </c>
      <c r="H19" s="36">
        <f t="shared" si="0"/>
        <v>500</v>
      </c>
    </row>
    <row r="20" spans="1:16" ht="17.399999999999999" customHeight="1" thickBot="1" x14ac:dyDescent="0.35">
      <c r="A20" s="28">
        <v>1019</v>
      </c>
      <c r="B20" s="28" t="s">
        <v>52</v>
      </c>
      <c r="C20" s="28" t="s">
        <v>32</v>
      </c>
      <c r="D20" s="28" t="s">
        <v>30</v>
      </c>
      <c r="E20" s="28">
        <v>15</v>
      </c>
      <c r="F20" s="28">
        <v>10</v>
      </c>
      <c r="G20" s="34">
        <v>45321</v>
      </c>
      <c r="H20" s="36">
        <f t="shared" si="0"/>
        <v>150</v>
      </c>
    </row>
    <row r="21" spans="1:16" ht="17.399999999999999" customHeight="1" thickBot="1" x14ac:dyDescent="0.35">
      <c r="A21" s="28">
        <v>1020</v>
      </c>
      <c r="B21" s="28" t="s">
        <v>53</v>
      </c>
      <c r="C21" s="28" t="s">
        <v>35</v>
      </c>
      <c r="D21" s="28" t="s">
        <v>33</v>
      </c>
      <c r="E21" s="28">
        <v>18</v>
      </c>
      <c r="F21" s="28">
        <v>25</v>
      </c>
      <c r="G21" s="34">
        <v>45323</v>
      </c>
      <c r="H21" s="36">
        <f t="shared" si="0"/>
        <v>450</v>
      </c>
    </row>
    <row r="22" spans="1:16" ht="17.399999999999999" customHeight="1" thickBot="1" x14ac:dyDescent="0.35">
      <c r="A22" s="28">
        <v>1021</v>
      </c>
      <c r="B22" s="28" t="s">
        <v>54</v>
      </c>
      <c r="C22" s="28" t="s">
        <v>26</v>
      </c>
      <c r="D22" s="28" t="s">
        <v>27</v>
      </c>
      <c r="E22" s="28">
        <v>9</v>
      </c>
      <c r="F22" s="28">
        <v>50</v>
      </c>
      <c r="G22" s="34">
        <v>45324</v>
      </c>
      <c r="H22" s="36">
        <f t="shared" si="0"/>
        <v>450</v>
      </c>
    </row>
    <row r="23" spans="1:16" ht="17.399999999999999" customHeight="1" thickBot="1" x14ac:dyDescent="0.35">
      <c r="A23" s="28">
        <v>1022</v>
      </c>
      <c r="B23" s="28" t="s">
        <v>55</v>
      </c>
      <c r="C23" s="28" t="s">
        <v>29</v>
      </c>
      <c r="D23" s="28" t="s">
        <v>37</v>
      </c>
      <c r="E23" s="28">
        <v>35</v>
      </c>
      <c r="F23" s="28">
        <v>5</v>
      </c>
      <c r="G23" s="34">
        <v>45325</v>
      </c>
      <c r="H23" s="36">
        <f t="shared" si="0"/>
        <v>175</v>
      </c>
    </row>
    <row r="24" spans="1:16" ht="17.399999999999999" customHeight="1" thickBot="1" x14ac:dyDescent="0.35">
      <c r="A24" s="28">
        <v>1023</v>
      </c>
      <c r="B24" s="28" t="s">
        <v>56</v>
      </c>
      <c r="C24" s="28" t="s">
        <v>32</v>
      </c>
      <c r="D24" s="28" t="s">
        <v>40</v>
      </c>
      <c r="E24" s="28">
        <v>30</v>
      </c>
      <c r="F24" s="28">
        <v>8</v>
      </c>
      <c r="G24" s="34">
        <v>45326</v>
      </c>
      <c r="H24" s="36">
        <f t="shared" si="0"/>
        <v>240</v>
      </c>
    </row>
    <row r="25" spans="1:16" ht="17.399999999999999" customHeight="1" thickBot="1" x14ac:dyDescent="0.35">
      <c r="A25" s="28">
        <v>1024</v>
      </c>
      <c r="B25" s="28" t="s">
        <v>57</v>
      </c>
      <c r="C25" s="28" t="s">
        <v>35</v>
      </c>
      <c r="D25" s="28" t="s">
        <v>27</v>
      </c>
      <c r="E25" s="28">
        <v>11</v>
      </c>
      <c r="F25" s="28">
        <v>50</v>
      </c>
      <c r="G25" s="34">
        <v>45328</v>
      </c>
      <c r="H25" s="36">
        <f t="shared" si="0"/>
        <v>550</v>
      </c>
    </row>
    <row r="26" spans="1:16" ht="17.399999999999999" customHeight="1" thickBot="1" x14ac:dyDescent="0.35">
      <c r="A26" s="28">
        <v>1025</v>
      </c>
      <c r="B26" s="28" t="s">
        <v>58</v>
      </c>
      <c r="C26" s="28" t="s">
        <v>26</v>
      </c>
      <c r="D26" s="28" t="s">
        <v>30</v>
      </c>
      <c r="E26" s="28">
        <v>14</v>
      </c>
      <c r="F26" s="28">
        <v>10</v>
      </c>
      <c r="G26" s="34">
        <v>45329</v>
      </c>
      <c r="H26" s="36">
        <f t="shared" si="0"/>
        <v>140</v>
      </c>
    </row>
    <row r="27" spans="1:16" ht="17.399999999999999" customHeight="1" thickBot="1" x14ac:dyDescent="0.35">
      <c r="A27" s="28">
        <v>1026</v>
      </c>
      <c r="B27" s="28" t="s">
        <v>59</v>
      </c>
      <c r="C27" s="28" t="s">
        <v>29</v>
      </c>
      <c r="D27" s="28" t="s">
        <v>33</v>
      </c>
      <c r="E27" s="28">
        <v>16</v>
      </c>
      <c r="F27" s="28">
        <v>25</v>
      </c>
      <c r="G27" s="34">
        <v>45330</v>
      </c>
      <c r="H27" s="36">
        <f t="shared" si="0"/>
        <v>400</v>
      </c>
      <c r="K27" s="45" t="s">
        <v>95</v>
      </c>
      <c r="L27" s="45"/>
      <c r="M27" s="45"/>
      <c r="N27" s="45"/>
      <c r="O27" s="45"/>
      <c r="P27" s="45"/>
    </row>
    <row r="28" spans="1:16" ht="17.399999999999999" customHeight="1" thickBot="1" x14ac:dyDescent="0.35">
      <c r="A28" s="28">
        <v>1027</v>
      </c>
      <c r="B28" s="28" t="s">
        <v>60</v>
      </c>
      <c r="C28" s="28" t="s">
        <v>32</v>
      </c>
      <c r="D28" s="28" t="s">
        <v>37</v>
      </c>
      <c r="E28" s="28">
        <v>22</v>
      </c>
      <c r="F28" s="28">
        <v>5</v>
      </c>
      <c r="G28" s="34">
        <v>45331</v>
      </c>
      <c r="H28" s="36">
        <f t="shared" si="0"/>
        <v>110</v>
      </c>
    </row>
    <row r="29" spans="1:16" ht="17.399999999999999" customHeight="1" thickBot="1" x14ac:dyDescent="0.35">
      <c r="A29" s="28">
        <v>1028</v>
      </c>
      <c r="B29" s="28" t="s">
        <v>61</v>
      </c>
      <c r="C29" s="28" t="s">
        <v>35</v>
      </c>
      <c r="D29" s="28" t="s">
        <v>40</v>
      </c>
      <c r="E29" s="28">
        <v>27</v>
      </c>
      <c r="F29" s="28">
        <v>8</v>
      </c>
      <c r="G29" s="34">
        <v>45332</v>
      </c>
      <c r="H29" s="36">
        <f t="shared" si="0"/>
        <v>216</v>
      </c>
    </row>
    <row r="30" spans="1:16" ht="17.399999999999999" customHeight="1" thickBot="1" x14ac:dyDescent="0.35">
      <c r="A30" s="28">
        <v>1029</v>
      </c>
      <c r="B30" s="28" t="s">
        <v>62</v>
      </c>
      <c r="C30" s="28" t="s">
        <v>26</v>
      </c>
      <c r="D30" s="28" t="s">
        <v>27</v>
      </c>
      <c r="E30" s="28">
        <v>13</v>
      </c>
      <c r="F30" s="28">
        <v>50</v>
      </c>
      <c r="G30" s="34">
        <v>45334</v>
      </c>
      <c r="H30" s="36">
        <f t="shared" si="0"/>
        <v>650</v>
      </c>
    </row>
    <row r="31" spans="1:16" ht="17.399999999999999" customHeight="1" thickBot="1" x14ac:dyDescent="0.35">
      <c r="A31" s="28">
        <v>1030</v>
      </c>
      <c r="B31" s="28" t="s">
        <v>63</v>
      </c>
      <c r="C31" s="28" t="s">
        <v>29</v>
      </c>
      <c r="D31" s="28" t="s">
        <v>30</v>
      </c>
      <c r="E31" s="28">
        <v>32</v>
      </c>
      <c r="F31" s="28">
        <v>10</v>
      </c>
      <c r="G31" s="34">
        <v>45335</v>
      </c>
      <c r="H31" s="36">
        <f t="shared" si="0"/>
        <v>320</v>
      </c>
    </row>
    <row r="32" spans="1:16" ht="17.399999999999999" customHeight="1" thickBot="1" x14ac:dyDescent="0.35">
      <c r="A32" s="28">
        <v>1031</v>
      </c>
      <c r="B32" s="28" t="s">
        <v>64</v>
      </c>
      <c r="C32" s="28" t="s">
        <v>32</v>
      </c>
      <c r="D32" s="28" t="s">
        <v>33</v>
      </c>
      <c r="E32" s="28">
        <v>10</v>
      </c>
      <c r="F32" s="28">
        <v>25</v>
      </c>
      <c r="G32" s="34">
        <v>45336</v>
      </c>
      <c r="H32" s="36">
        <f t="shared" si="0"/>
        <v>250</v>
      </c>
    </row>
    <row r="33" spans="1:8" ht="17.399999999999999" customHeight="1" thickBot="1" x14ac:dyDescent="0.35">
      <c r="A33" s="28">
        <v>1032</v>
      </c>
      <c r="B33" s="28" t="s">
        <v>65</v>
      </c>
      <c r="C33" s="28" t="s">
        <v>35</v>
      </c>
      <c r="D33" s="28" t="s">
        <v>37</v>
      </c>
      <c r="E33" s="28">
        <v>18</v>
      </c>
      <c r="F33" s="28">
        <v>5</v>
      </c>
      <c r="G33" s="34">
        <v>45338</v>
      </c>
      <c r="H33" s="36">
        <f t="shared" si="0"/>
        <v>90</v>
      </c>
    </row>
    <row r="34" spans="1:8" ht="17.399999999999999" customHeight="1" thickBot="1" x14ac:dyDescent="0.35">
      <c r="A34" s="28">
        <v>1033</v>
      </c>
      <c r="B34" s="28" t="s">
        <v>66</v>
      </c>
      <c r="C34" s="28" t="s">
        <v>26</v>
      </c>
      <c r="D34" s="28" t="s">
        <v>40</v>
      </c>
      <c r="E34" s="28">
        <v>22</v>
      </c>
      <c r="F34" s="28">
        <v>8</v>
      </c>
      <c r="G34" s="34">
        <v>45339</v>
      </c>
      <c r="H34" s="36">
        <f t="shared" si="0"/>
        <v>176</v>
      </c>
    </row>
    <row r="35" spans="1:8" ht="17.399999999999999" customHeight="1" thickBot="1" x14ac:dyDescent="0.35">
      <c r="A35" s="28">
        <v>1034</v>
      </c>
      <c r="B35" s="28" t="s">
        <v>67</v>
      </c>
      <c r="C35" s="28" t="s">
        <v>29</v>
      </c>
      <c r="D35" s="28" t="s">
        <v>27</v>
      </c>
      <c r="E35" s="28">
        <v>17</v>
      </c>
      <c r="F35" s="28">
        <v>50</v>
      </c>
      <c r="G35" s="34">
        <v>45340</v>
      </c>
      <c r="H35" s="36">
        <f t="shared" si="0"/>
        <v>850</v>
      </c>
    </row>
    <row r="36" spans="1:8" ht="17.399999999999999" customHeight="1" thickBot="1" x14ac:dyDescent="0.35">
      <c r="A36" s="28">
        <v>1035</v>
      </c>
      <c r="B36" s="28" t="s">
        <v>68</v>
      </c>
      <c r="C36" s="28" t="s">
        <v>32</v>
      </c>
      <c r="D36" s="28" t="s">
        <v>30</v>
      </c>
      <c r="E36" s="28">
        <v>19</v>
      </c>
      <c r="F36" s="28">
        <v>10</v>
      </c>
      <c r="G36" s="34">
        <v>45341</v>
      </c>
      <c r="H36" s="36">
        <f t="shared" si="0"/>
        <v>190</v>
      </c>
    </row>
    <row r="37" spans="1:8" ht="17.399999999999999" customHeight="1" thickBot="1" x14ac:dyDescent="0.35">
      <c r="A37" s="28">
        <v>1036</v>
      </c>
      <c r="B37" s="28" t="s">
        <v>69</v>
      </c>
      <c r="C37" s="28" t="s">
        <v>35</v>
      </c>
      <c r="D37" s="28" t="s">
        <v>33</v>
      </c>
      <c r="E37" s="28">
        <v>15</v>
      </c>
      <c r="F37" s="28">
        <v>25</v>
      </c>
      <c r="G37" s="34">
        <v>45343</v>
      </c>
      <c r="H37" s="36">
        <f t="shared" si="0"/>
        <v>375</v>
      </c>
    </row>
    <row r="38" spans="1:8" ht="17.399999999999999" customHeight="1" thickBot="1" x14ac:dyDescent="0.35">
      <c r="A38" s="28">
        <v>1037</v>
      </c>
      <c r="B38" s="28" t="s">
        <v>70</v>
      </c>
      <c r="C38" s="28" t="s">
        <v>26</v>
      </c>
      <c r="D38" s="28" t="s">
        <v>37</v>
      </c>
      <c r="E38" s="28">
        <v>28</v>
      </c>
      <c r="F38" s="28">
        <v>5</v>
      </c>
      <c r="G38" s="34">
        <v>45344</v>
      </c>
      <c r="H38" s="36">
        <f t="shared" si="0"/>
        <v>140</v>
      </c>
    </row>
    <row r="39" spans="1:8" ht="17.399999999999999" customHeight="1" thickBot="1" x14ac:dyDescent="0.35">
      <c r="A39" s="28">
        <v>1038</v>
      </c>
      <c r="B39" s="28" t="s">
        <v>71</v>
      </c>
      <c r="C39" s="28" t="s">
        <v>29</v>
      </c>
      <c r="D39" s="28" t="s">
        <v>40</v>
      </c>
      <c r="E39" s="28">
        <v>24</v>
      </c>
      <c r="F39" s="28">
        <v>8</v>
      </c>
      <c r="G39" s="34">
        <v>45345</v>
      </c>
      <c r="H39" s="36">
        <f t="shared" si="0"/>
        <v>192</v>
      </c>
    </row>
    <row r="40" spans="1:8" ht="17.399999999999999" customHeight="1" thickBot="1" x14ac:dyDescent="0.35">
      <c r="A40" s="28">
        <v>1039</v>
      </c>
      <c r="B40" s="28" t="s">
        <v>72</v>
      </c>
      <c r="C40" s="28" t="s">
        <v>32</v>
      </c>
      <c r="D40" s="28" t="s">
        <v>27</v>
      </c>
      <c r="E40" s="28">
        <v>16</v>
      </c>
      <c r="F40" s="28">
        <v>50</v>
      </c>
      <c r="G40" s="34">
        <v>45347</v>
      </c>
      <c r="H40" s="36">
        <f t="shared" si="0"/>
        <v>800</v>
      </c>
    </row>
    <row r="41" spans="1:8" ht="17.399999999999999" customHeight="1" thickBot="1" x14ac:dyDescent="0.35">
      <c r="A41" s="28">
        <v>1040</v>
      </c>
      <c r="B41" s="28" t="s">
        <v>73</v>
      </c>
      <c r="C41" s="28" t="s">
        <v>35</v>
      </c>
      <c r="D41" s="28" t="s">
        <v>30</v>
      </c>
      <c r="E41" s="28">
        <v>27</v>
      </c>
      <c r="F41" s="28">
        <v>10</v>
      </c>
      <c r="G41" s="34">
        <v>45348</v>
      </c>
      <c r="H41" s="36">
        <f t="shared" si="0"/>
        <v>270</v>
      </c>
    </row>
    <row r="42" spans="1:8" ht="17.399999999999999" customHeight="1" thickBot="1" x14ac:dyDescent="0.35">
      <c r="A42" s="28">
        <v>1041</v>
      </c>
      <c r="B42" s="28" t="s">
        <v>74</v>
      </c>
      <c r="C42" s="28" t="s">
        <v>26</v>
      </c>
      <c r="D42" s="28" t="s">
        <v>33</v>
      </c>
      <c r="E42" s="28">
        <v>21</v>
      </c>
      <c r="F42" s="28">
        <v>25</v>
      </c>
      <c r="G42" s="34">
        <v>45349</v>
      </c>
      <c r="H42" s="36">
        <f t="shared" si="0"/>
        <v>525</v>
      </c>
    </row>
    <row r="43" spans="1:8" ht="17.399999999999999" customHeight="1" thickBot="1" x14ac:dyDescent="0.35">
      <c r="A43" s="28">
        <v>1042</v>
      </c>
      <c r="B43" s="28" t="s">
        <v>75</v>
      </c>
      <c r="C43" s="28" t="s">
        <v>29</v>
      </c>
      <c r="D43" s="28" t="s">
        <v>37</v>
      </c>
      <c r="E43" s="28">
        <v>30</v>
      </c>
      <c r="F43" s="28">
        <v>5</v>
      </c>
      <c r="G43" s="34">
        <v>45350</v>
      </c>
      <c r="H43" s="36">
        <f t="shared" si="0"/>
        <v>150</v>
      </c>
    </row>
    <row r="44" spans="1:8" ht="17.399999999999999" customHeight="1" thickBot="1" x14ac:dyDescent="0.35">
      <c r="A44" s="28">
        <v>1043</v>
      </c>
      <c r="B44" s="28" t="s">
        <v>76</v>
      </c>
      <c r="C44" s="28" t="s">
        <v>32</v>
      </c>
      <c r="D44" s="28" t="s">
        <v>40</v>
      </c>
      <c r="E44" s="28">
        <v>26</v>
      </c>
      <c r="F44" s="28">
        <v>8</v>
      </c>
      <c r="G44" s="34">
        <v>45352</v>
      </c>
      <c r="H44" s="36">
        <f t="shared" si="0"/>
        <v>208</v>
      </c>
    </row>
    <row r="45" spans="1:8" ht="17.399999999999999" customHeight="1" thickBot="1" x14ac:dyDescent="0.35">
      <c r="A45" s="28">
        <v>1044</v>
      </c>
      <c r="B45" s="28" t="s">
        <v>77</v>
      </c>
      <c r="C45" s="28" t="s">
        <v>35</v>
      </c>
      <c r="D45" s="28" t="s">
        <v>27</v>
      </c>
      <c r="E45" s="28">
        <v>14</v>
      </c>
      <c r="F45" s="28">
        <v>50</v>
      </c>
      <c r="G45" s="34">
        <v>45353</v>
      </c>
      <c r="H45" s="36">
        <f t="shared" si="0"/>
        <v>700</v>
      </c>
    </row>
    <row r="46" spans="1:8" ht="17.399999999999999" customHeight="1" thickBot="1" x14ac:dyDescent="0.35">
      <c r="A46" s="28">
        <v>1045</v>
      </c>
      <c r="B46" s="28" t="s">
        <v>78</v>
      </c>
      <c r="C46" s="28" t="s">
        <v>26</v>
      </c>
      <c r="D46" s="28" t="s">
        <v>30</v>
      </c>
      <c r="E46" s="28">
        <v>20</v>
      </c>
      <c r="F46" s="28">
        <v>10</v>
      </c>
      <c r="G46" s="34">
        <v>45354</v>
      </c>
      <c r="H46" s="36">
        <f t="shared" si="0"/>
        <v>200</v>
      </c>
    </row>
    <row r="47" spans="1:8" ht="17.399999999999999" customHeight="1" thickBot="1" x14ac:dyDescent="0.35">
      <c r="A47" s="28">
        <v>1046</v>
      </c>
      <c r="B47" s="28" t="s">
        <v>79</v>
      </c>
      <c r="C47" s="28" t="s">
        <v>29</v>
      </c>
      <c r="D47" s="28" t="s">
        <v>33</v>
      </c>
      <c r="E47" s="28">
        <v>17</v>
      </c>
      <c r="F47" s="28">
        <v>25</v>
      </c>
      <c r="G47" s="34">
        <v>45355</v>
      </c>
      <c r="H47" s="36">
        <f t="shared" si="0"/>
        <v>425</v>
      </c>
    </row>
    <row r="48" spans="1:8" ht="17.399999999999999" customHeight="1" thickBot="1" x14ac:dyDescent="0.35">
      <c r="A48" s="28">
        <v>1047</v>
      </c>
      <c r="B48" s="28" t="s">
        <v>80</v>
      </c>
      <c r="C48" s="28" t="s">
        <v>32</v>
      </c>
      <c r="D48" s="28" t="s">
        <v>37</v>
      </c>
      <c r="E48" s="28">
        <v>19</v>
      </c>
      <c r="F48" s="28">
        <v>5</v>
      </c>
      <c r="G48" s="34">
        <v>45356</v>
      </c>
      <c r="H48" s="36">
        <f t="shared" si="0"/>
        <v>95</v>
      </c>
    </row>
    <row r="49" spans="1:8" ht="17.399999999999999" customHeight="1" thickBot="1" x14ac:dyDescent="0.35">
      <c r="A49" s="28">
        <v>1048</v>
      </c>
      <c r="B49" s="28" t="s">
        <v>81</v>
      </c>
      <c r="C49" s="28" t="s">
        <v>35</v>
      </c>
      <c r="D49" s="28" t="s">
        <v>40</v>
      </c>
      <c r="E49" s="28">
        <v>32</v>
      </c>
      <c r="F49" s="28">
        <v>8</v>
      </c>
      <c r="G49" s="34">
        <v>45357</v>
      </c>
      <c r="H49" s="36">
        <f t="shared" si="0"/>
        <v>256</v>
      </c>
    </row>
    <row r="50" spans="1:8" ht="17.399999999999999" customHeight="1" thickBot="1" x14ac:dyDescent="0.35">
      <c r="A50" s="28">
        <v>1049</v>
      </c>
      <c r="B50" s="28" t="s">
        <v>82</v>
      </c>
      <c r="C50" s="28" t="s">
        <v>26</v>
      </c>
      <c r="D50" s="28" t="s">
        <v>27</v>
      </c>
      <c r="E50" s="28">
        <v>12</v>
      </c>
      <c r="F50" s="28">
        <v>50</v>
      </c>
      <c r="G50" s="34">
        <v>45358</v>
      </c>
      <c r="H50" s="36">
        <f t="shared" si="0"/>
        <v>600</v>
      </c>
    </row>
    <row r="51" spans="1:8" ht="17.399999999999999" customHeight="1" thickBot="1" x14ac:dyDescent="0.35">
      <c r="A51" s="28">
        <v>1050</v>
      </c>
      <c r="B51" s="28" t="s">
        <v>83</v>
      </c>
      <c r="C51" s="28" t="s">
        <v>29</v>
      </c>
      <c r="D51" s="28" t="s">
        <v>30</v>
      </c>
      <c r="E51" s="28">
        <v>25</v>
      </c>
      <c r="F51" s="28">
        <v>10</v>
      </c>
      <c r="G51" s="34">
        <v>45359</v>
      </c>
      <c r="H51" s="36">
        <f t="shared" si="0"/>
        <v>250</v>
      </c>
    </row>
  </sheetData>
  <mergeCells count="11">
    <mergeCell ref="J13:P13"/>
    <mergeCell ref="K27:P27"/>
    <mergeCell ref="J7:P7"/>
    <mergeCell ref="J9:P9"/>
    <mergeCell ref="J11:N11"/>
    <mergeCell ref="K10:P10"/>
    <mergeCell ref="J1:P1"/>
    <mergeCell ref="K2:N2"/>
    <mergeCell ref="L3:M3"/>
    <mergeCell ref="J5:P5"/>
    <mergeCell ref="K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Kumar Lal Das</dc:creator>
  <cp:lastModifiedBy>Hemant Kumar Lal Das</cp:lastModifiedBy>
  <dcterms:created xsi:type="dcterms:W3CDTF">2026-01-11T10:47:46Z</dcterms:created>
  <dcterms:modified xsi:type="dcterms:W3CDTF">2026-01-13T05:19:54Z</dcterms:modified>
</cp:coreProperties>
</file>