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318b7c4bfa3fcd/Documents/"/>
    </mc:Choice>
  </mc:AlternateContent>
  <xr:revisionPtr revIDLastSave="85" documentId="8_{B0F02F19-494D-466D-A0F1-089577B399EC}" xr6:coauthVersionLast="47" xr6:coauthVersionMax="47" xr10:uidLastSave="{A461A855-1551-4460-AF37-5F4E22D686D3}"/>
  <bookViews>
    <workbookView xWindow="-108" yWindow="-108" windowWidth="23256" windowHeight="12456" activeTab="1" xr2:uid="{0921E576-DDA2-4E73-B5A6-8EB91C5272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15" i="2"/>
  <c r="D8" i="2"/>
  <c r="D9" i="2"/>
  <c r="D7" i="2"/>
  <c r="B52" i="1"/>
  <c r="F34" i="1"/>
  <c r="C25" i="1" a="1"/>
  <c r="C25" i="1" s="1"/>
  <c r="C26" i="1" a="1"/>
  <c r="C26" i="1"/>
  <c r="C27" i="1" a="1"/>
  <c r="C27" i="1" s="1"/>
  <c r="C28" i="1" a="1"/>
  <c r="C28" i="1" s="1"/>
  <c r="C24" i="1" a="1"/>
  <c r="C24" i="1" s="1"/>
  <c r="D15" i="1"/>
  <c r="D16" i="1"/>
  <c r="D17" i="1"/>
  <c r="D14" i="1"/>
  <c r="C5" i="1"/>
  <c r="C6" i="1"/>
  <c r="C7" i="1"/>
  <c r="C8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<sst xmlns="http://schemas.openxmlformats.org/spreadsheetml/2006/main" count="90" uniqueCount="63">
  <si>
    <t>1.Write a formula to check if the marks in cell are greater than or equal to 40. If yes, return "Pass",otherwise B2 "Pass" "Fail"</t>
  </si>
  <si>
    <t>Students name</t>
  </si>
  <si>
    <t>Marks</t>
  </si>
  <si>
    <t>Riya</t>
  </si>
  <si>
    <t>Siya</t>
  </si>
  <si>
    <t>Raju</t>
  </si>
  <si>
    <t>Rahul</t>
  </si>
  <si>
    <t>Ram</t>
  </si>
  <si>
    <t>Result</t>
  </si>
  <si>
    <t>Formula=IF(B4&gt;=40,"pass","fail")</t>
  </si>
  <si>
    <t>2.A company gives a bonus  if sales are above 40,000 and attendance is greater than or equal to 90%. Write a
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</si>
  <si>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</si>
  <si>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</si>
  <si>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</si>
  <si>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</si>
  <si>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</si>
  <si>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</si>
  <si>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</si>
  <si>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</si>
  <si>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Raj</t>
  </si>
  <si>
    <t xml:space="preserve">Neha </t>
  </si>
  <si>
    <t>Vivek</t>
  </si>
  <si>
    <t>Rani</t>
  </si>
  <si>
    <t>Sneha</t>
  </si>
  <si>
    <t>3.Write a nested IF formula:_x000B_
If marks in  B2 are ≥ 90 →"A" , ≥ 75 →"B" , ≥ 50 →"C" , otherwise . B2 "A" "B" "C" "Fail</t>
  </si>
  <si>
    <t>Grade</t>
  </si>
  <si>
    <t>Formula=IFS(B24&gt;=90,"A",B24&gt;=75,"B",B24&gt;=50,"C",B24&lt;50,"FAIL")</t>
  </si>
  <si>
    <t>Formula=IF(AND(B14&gt;40000,C14&gt;=90),"BONUS","NO BONUS")</t>
  </si>
  <si>
    <t>4.Find the Department of Employee ID = E103. Also explain which LOOKUP function is used and why?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</si>
  <si>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</si>
  <si>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</si>
  <si>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</si>
  <si>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</si>
  <si>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</si>
  <si>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</si>
  <si>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</si>
  <si>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</si>
  <si>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</si>
  <si>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</si>
  <si>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</si>
  <si>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</si>
  <si>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Based on your requirement to find the department for Employee ID E103, the VLOOKUP (Vertical Lookup) function is the most appropriate especially if your employee data is structured in a table with the ID on the left and the department on the right. tool to use,</t>
  </si>
  <si>
    <t>5.If a salesperson achieves sales of ₹45,000, use the VLOOKUP function to determine the commission rate
applicable.</t>
  </si>
  <si>
    <t>Sales Amount</t>
  </si>
  <si>
    <t>Commission Rate</t>
  </si>
  <si>
    <t xml:space="preserve">"We use this specific VLOOKUP formula because we need an Approximate Match, not an exact one.
Missing Value: The exact number 45,000 does not exist in the ""Sales Amount"" column.
Range Lookup (1): By using 1 (or TRUE) at the end of the formula, we tell Excel: ""If you can't find 45,000, find the closest number that is less than 45,000.""
Result: Excel finds 20,000 (the largest number less than 45,000) and returns its commission rate: 10%."		
		</t>
  </si>
  <si>
    <t>Employee Name</t>
  </si>
  <si>
    <t>Leaves Taken</t>
  </si>
  <si>
    <t>Leaves Allowed</t>
  </si>
  <si>
    <t>Leave Status</t>
  </si>
  <si>
    <t>Alex</t>
  </si>
  <si>
    <t>Bob</t>
  </si>
  <si>
    <t>Anna</t>
  </si>
  <si>
    <t>6. The HR department maintains the following leave records of employees:onus or notWrite an IF function to check whether an employee has Exceeded their allowed leave balance.
If Leaves Taken &gt; Allowed Leaves, display "Exceeded".Otherwise, display "OK".</t>
  </si>
  <si>
    <t xml:space="preserve">7. Find the salary of EmpID = E105 using INDEX-MATCH Function.						</t>
  </si>
  <si>
    <t>Salary</t>
  </si>
  <si>
    <t>E105</t>
  </si>
  <si>
    <t>E106</t>
  </si>
  <si>
    <t>Formula==INDEX(B14:B17,MATCH(D15,A14:A17,0))</t>
  </si>
  <si>
    <t xml:space="preserve">8. U se the XLOOKUP function to find the Department of the employee with Emp ID = E303.						</t>
  </si>
  <si>
    <t>E303</t>
  </si>
  <si>
    <t>E301</t>
  </si>
  <si>
    <t>Formula=XLOOKUP(D22,A22:A25,B22:B25,"NOT FOUND",0)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</si>
</sst>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theme="4" tint="0.5999938962981048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1" fillId="4" borderId="0" xfId="0" applyFont="1" applyFill="1"/>
    <xf numFmtId="0" fontId="1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49" fontId="0" fillId="3" borderId="0" xfId="0" applyNumberFormat="1" applyFill="1" applyAlignment="1">
      <alignment horizontal="center"/>
    </xf>
    <xf numFmtId="9" fontId="0" fillId="0" borderId="2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9" fontId="0" fillId="0" borderId="0" xfId="1" applyFont="1"/>
    <xf numFmtId="0" fontId="5" fillId="7" borderId="0" xfId="0" applyFont="1" applyFill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top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9F5A-F114-444D-AE35-99F68315C76B}">
  <dimension ref="A1:W54"/>
  <sheetViews>
    <sheetView topLeftCell="A35" workbookViewId="0">
      <selection activeCell="B52" sqref="B52"/>
    </sheetView>
  </sheetViews>
  <sheetFormatPr defaultRowHeight="14.4" x14ac:dyDescent="0.3"/>
  <cols>
    <col min="1" max="1" width="13.5546875" bestFit="1" customWidth="1"/>
    <col min="2" max="2" width="15.6640625" bestFit="1" customWidth="1"/>
    <col min="3" max="3" width="11" bestFit="1" customWidth="1"/>
    <col min="4" max="4" width="10" bestFit="1" customWidth="1"/>
    <col min="6" max="6" width="11" bestFit="1" customWidth="1"/>
  </cols>
  <sheetData>
    <row r="1" spans="1:1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3" t="s">
        <v>1</v>
      </c>
      <c r="B3" s="3" t="s">
        <v>2</v>
      </c>
      <c r="C3" s="2" t="s">
        <v>8</v>
      </c>
    </row>
    <row r="4" spans="1:11" x14ac:dyDescent="0.3">
      <c r="A4" s="4" t="s">
        <v>3</v>
      </c>
      <c r="B4" s="1">
        <v>45</v>
      </c>
      <c r="C4" t="str">
        <f>IF(B4&gt;=40,"pass","fail")</f>
        <v>pass</v>
      </c>
    </row>
    <row r="5" spans="1:11" x14ac:dyDescent="0.3">
      <c r="A5" s="4" t="s">
        <v>4</v>
      </c>
      <c r="B5" s="1">
        <v>72</v>
      </c>
      <c r="C5" t="str">
        <f t="shared" ref="C5:C8" si="0">IF(B5&gt;=40,"pass","fail")</f>
        <v>pass</v>
      </c>
    </row>
    <row r="6" spans="1:11" x14ac:dyDescent="0.3">
      <c r="A6" s="4" t="s">
        <v>5</v>
      </c>
      <c r="B6" s="1">
        <v>55</v>
      </c>
      <c r="C6" t="str">
        <f t="shared" si="0"/>
        <v>pass</v>
      </c>
    </row>
    <row r="7" spans="1:11" x14ac:dyDescent="0.3">
      <c r="A7" s="4" t="s">
        <v>6</v>
      </c>
      <c r="B7" s="1">
        <v>80</v>
      </c>
      <c r="C7" t="str">
        <f t="shared" si="0"/>
        <v>pass</v>
      </c>
    </row>
    <row r="8" spans="1:11" x14ac:dyDescent="0.3">
      <c r="A8" s="4" t="s">
        <v>7</v>
      </c>
      <c r="B8" s="1">
        <v>30</v>
      </c>
      <c r="C8" t="str">
        <f t="shared" si="0"/>
        <v>fail</v>
      </c>
    </row>
    <row r="9" spans="1:11" x14ac:dyDescent="0.3">
      <c r="A9" s="15" t="s">
        <v>9</v>
      </c>
      <c r="B9" s="15"/>
      <c r="C9" s="15"/>
      <c r="D9" s="15"/>
      <c r="E9" s="15"/>
    </row>
    <row r="11" spans="1:11" x14ac:dyDescent="0.3">
      <c r="A11" s="7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3">
      <c r="A13" s="5" t="s">
        <v>11</v>
      </c>
      <c r="B13" s="5" t="s">
        <v>12</v>
      </c>
      <c r="C13" s="5" t="s">
        <v>13</v>
      </c>
      <c r="D13" s="5" t="s">
        <v>18</v>
      </c>
    </row>
    <row r="14" spans="1:11" x14ac:dyDescent="0.3">
      <c r="A14" t="s">
        <v>14</v>
      </c>
      <c r="B14">
        <v>55000</v>
      </c>
      <c r="C14">
        <v>95</v>
      </c>
      <c r="D14" t="str">
        <f>IF(AND(B14&gt;40000,C14&gt;=90),"BONUS","NO BONUS")</f>
        <v>BONUS</v>
      </c>
    </row>
    <row r="15" spans="1:11" x14ac:dyDescent="0.3">
      <c r="A15" t="s">
        <v>15</v>
      </c>
      <c r="B15">
        <v>65000</v>
      </c>
      <c r="C15">
        <v>85</v>
      </c>
      <c r="D15" t="str">
        <f>IF(AND(B15&gt;40000,C15&gt;=90),"BONUS","NO BONUS")</f>
        <v>NO BONUS</v>
      </c>
    </row>
    <row r="16" spans="1:11" x14ac:dyDescent="0.3">
      <c r="A16" t="s">
        <v>16</v>
      </c>
      <c r="B16">
        <v>30000</v>
      </c>
      <c r="C16">
        <v>90</v>
      </c>
      <c r="D16" t="str">
        <f t="shared" ref="D16:D17" si="1">IF(AND(B16&gt;40000,C16&gt;=90),"BONUS","NO BONUS")</f>
        <v>NO BONUS</v>
      </c>
    </row>
    <row r="17" spans="1:12" x14ac:dyDescent="0.3">
      <c r="A17" t="s">
        <v>17</v>
      </c>
      <c r="B17">
        <v>25000</v>
      </c>
      <c r="C17">
        <v>65</v>
      </c>
      <c r="D17" t="str">
        <f t="shared" si="1"/>
        <v>NO BONUS</v>
      </c>
    </row>
    <row r="19" spans="1:12" x14ac:dyDescent="0.3">
      <c r="A19" s="9" t="s">
        <v>27</v>
      </c>
      <c r="B19" s="9"/>
      <c r="C19" s="9"/>
      <c r="D19" s="9"/>
      <c r="E19" s="9"/>
      <c r="F19" s="9"/>
      <c r="G19" s="9"/>
    </row>
    <row r="21" spans="1:12" x14ac:dyDescent="0.3">
      <c r="A21" s="7" t="s">
        <v>24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">
      <c r="A23" s="3" t="s">
        <v>1</v>
      </c>
      <c r="B23" s="3" t="s">
        <v>2</v>
      </c>
      <c r="C23" s="2" t="s">
        <v>25</v>
      </c>
    </row>
    <row r="24" spans="1:12" x14ac:dyDescent="0.3">
      <c r="A24" t="s">
        <v>19</v>
      </c>
      <c r="B24">
        <v>85</v>
      </c>
      <c r="C24" t="str" cm="1">
        <f t="array" ref="C24">_xlfn.IFS(B24&gt;=90,"A",B24&gt;=75,"B",B24&gt;=50,"C",B24&lt;50,"FAIL")</f>
        <v>B</v>
      </c>
    </row>
    <row r="25" spans="1:12" x14ac:dyDescent="0.3">
      <c r="A25" t="s">
        <v>20</v>
      </c>
      <c r="B25">
        <v>96</v>
      </c>
      <c r="C25" t="str" cm="1">
        <f t="array" ref="C25">_xlfn.IFS(B25&gt;=90,"A",B25&gt;=75,"B",B25&gt;=50,"C",B25&lt;50,"FAIL")</f>
        <v>A</v>
      </c>
    </row>
    <row r="26" spans="1:12" x14ac:dyDescent="0.3">
      <c r="A26" t="s">
        <v>21</v>
      </c>
      <c r="B26">
        <v>57</v>
      </c>
      <c r="C26" t="str" cm="1">
        <f t="array" ref="C26">_xlfn.IFS(B26&gt;=90,"A",B26&gt;=75,"B",B26&gt;=50,"C",B26&lt;50,"FAIL")</f>
        <v>C</v>
      </c>
    </row>
    <row r="27" spans="1:12" x14ac:dyDescent="0.3">
      <c r="A27" t="s">
        <v>22</v>
      </c>
      <c r="B27">
        <v>92</v>
      </c>
      <c r="C27" t="str" cm="1">
        <f t="array" ref="C27">_xlfn.IFS(B27&gt;=90,"A",B27&gt;=75,"B",B27&gt;=50,"C",B27&lt;50,"FAIL")</f>
        <v>A</v>
      </c>
    </row>
    <row r="28" spans="1:12" x14ac:dyDescent="0.3">
      <c r="A28" t="s">
        <v>23</v>
      </c>
      <c r="B28">
        <v>75</v>
      </c>
      <c r="C28" t="str" cm="1">
        <f t="array" ref="C28">_xlfn.IFS(B28&gt;=90,"A",B28&gt;=75,"B",B28&gt;=50,"C",B28&lt;50,"FAIL")</f>
        <v>B</v>
      </c>
    </row>
    <row r="29" spans="1:12" x14ac:dyDescent="0.3">
      <c r="A29" s="9" t="s">
        <v>26</v>
      </c>
      <c r="B29" s="9"/>
      <c r="C29" s="9"/>
      <c r="D29" s="9"/>
      <c r="E29" s="9"/>
      <c r="F29" s="9"/>
      <c r="G29" s="9"/>
    </row>
    <row r="31" spans="1:12" x14ac:dyDescent="0.3">
      <c r="A31" s="10" t="s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23" x14ac:dyDescent="0.3">
      <c r="A33" s="6" t="s">
        <v>29</v>
      </c>
      <c r="B33" s="2" t="s">
        <v>30</v>
      </c>
      <c r="C33" s="2" t="s">
        <v>31</v>
      </c>
      <c r="E33" s="6" t="s">
        <v>29</v>
      </c>
      <c r="F33" s="2" t="s">
        <v>31</v>
      </c>
    </row>
    <row r="34" spans="1:23" x14ac:dyDescent="0.3">
      <c r="A34" t="s">
        <v>32</v>
      </c>
      <c r="B34" t="s">
        <v>5</v>
      </c>
      <c r="C34" t="s">
        <v>38</v>
      </c>
      <c r="E34" t="s">
        <v>34</v>
      </c>
      <c r="F34" t="str">
        <f>VLOOKUP(E34,A34:C37,3,0)</f>
        <v>Finance</v>
      </c>
    </row>
    <row r="35" spans="1:23" x14ac:dyDescent="0.3">
      <c r="A35" t="s">
        <v>33</v>
      </c>
      <c r="B35" t="s">
        <v>3</v>
      </c>
      <c r="C35" t="s">
        <v>39</v>
      </c>
    </row>
    <row r="36" spans="1:23" x14ac:dyDescent="0.3">
      <c r="A36" t="s">
        <v>34</v>
      </c>
      <c r="B36" t="s">
        <v>36</v>
      </c>
      <c r="C36" t="s">
        <v>40</v>
      </c>
    </row>
    <row r="37" spans="1:23" x14ac:dyDescent="0.3">
      <c r="A37" t="s">
        <v>35</v>
      </c>
      <c r="B37" t="s">
        <v>37</v>
      </c>
      <c r="C37" t="s">
        <v>12</v>
      </c>
    </row>
    <row r="38" spans="1:23" x14ac:dyDescent="0.3">
      <c r="A38" s="12" t="s">
        <v>41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2" spans="1:23" x14ac:dyDescent="0.3">
      <c r="A42" s="7" t="s">
        <v>42</v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23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5" spans="1:23" x14ac:dyDescent="0.3">
      <c r="A45" s="18" t="s">
        <v>43</v>
      </c>
      <c r="B45" s="18" t="s">
        <v>44</v>
      </c>
      <c r="D45" s="20" t="s">
        <v>45</v>
      </c>
      <c r="E45" s="21"/>
      <c r="F45" s="21"/>
      <c r="G45" s="21"/>
      <c r="H45" s="21"/>
      <c r="I45" s="21"/>
      <c r="J45" s="21"/>
      <c r="K45" s="21"/>
      <c r="L45" s="21"/>
      <c r="M45" s="21"/>
    </row>
    <row r="46" spans="1:23" x14ac:dyDescent="0.3">
      <c r="A46" s="17">
        <v>0</v>
      </c>
      <c r="B46" s="16">
        <v>0.05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23" x14ac:dyDescent="0.3">
      <c r="A47" s="17">
        <v>20000</v>
      </c>
      <c r="B47" s="19">
        <v>0.1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23" x14ac:dyDescent="0.3">
      <c r="A48" s="17">
        <v>50000</v>
      </c>
      <c r="B48" s="19">
        <v>0.15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x14ac:dyDescent="0.3">
      <c r="A49" s="17">
        <v>80000</v>
      </c>
      <c r="B49" s="19">
        <v>0.2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x14ac:dyDescent="0.3"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x14ac:dyDescent="0.3">
      <c r="A51" s="18" t="s">
        <v>43</v>
      </c>
      <c r="B51" s="18" t="s">
        <v>44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x14ac:dyDescent="0.3">
      <c r="A52" s="22">
        <v>45000</v>
      </c>
      <c r="B52" s="23">
        <f>VLOOKUP(A52,A46:B49,2,1)</f>
        <v>0.1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x14ac:dyDescent="0.3"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 x14ac:dyDescent="0.3">
      <c r="D54" s="21"/>
      <c r="E54" s="21"/>
      <c r="F54" s="21"/>
      <c r="G54" s="21"/>
      <c r="H54" s="21"/>
      <c r="I54" s="21"/>
      <c r="J54" s="21"/>
      <c r="K54" s="21"/>
      <c r="L54" s="21"/>
      <c r="M54" s="21"/>
    </row>
  </sheetData>
  <mergeCells count="10">
    <mergeCell ref="A42:K43"/>
    <mergeCell ref="D45:M54"/>
    <mergeCell ref="A21:L22"/>
    <mergeCell ref="A29:G29"/>
    <mergeCell ref="A31:L32"/>
    <mergeCell ref="A38:W40"/>
    <mergeCell ref="A1:K2"/>
    <mergeCell ref="A11:K12"/>
    <mergeCell ref="A9:E9"/>
    <mergeCell ref="A19:G19"/>
  </mergeCells>
  <phoneticPr fontId="3" type="noConversion"/>
  <dataValidations count="1">
    <dataValidation type="list" allowBlank="1" showInputMessage="1" showErrorMessage="1" sqref="E34" xr:uid="{B8DF5B2B-801C-43F6-9835-68F0F9168C04}">
      <formula1>$A$34:$A$37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1F19-2A38-4A17-8ED2-99E471515AB7}">
  <dimension ref="A1:K25"/>
  <sheetViews>
    <sheetView tabSelected="1" topLeftCell="A2" workbookViewId="0">
      <selection activeCell="D24" sqref="D24:J25"/>
    </sheetView>
  </sheetViews>
  <sheetFormatPr defaultRowHeight="14.4" x14ac:dyDescent="0.3"/>
  <cols>
    <col min="1" max="1" width="14.6640625" bestFit="1" customWidth="1"/>
    <col min="2" max="2" width="11.88671875" bestFit="1" customWidth="1"/>
    <col min="3" max="3" width="13.77734375" bestFit="1" customWidth="1"/>
    <col min="4" max="4" width="11.44140625" bestFit="1" customWidth="1"/>
    <col min="5" max="5" width="11" bestFit="1" customWidth="1"/>
  </cols>
  <sheetData>
    <row r="1" spans="1:11" ht="14.4" customHeight="1" x14ac:dyDescent="0.3">
      <c r="A1" s="24" t="s">
        <v>53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s="28" customFormat="1" ht="14.4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1" s="28" customFormat="1" ht="14.4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1" s="28" customFormat="1" ht="14.4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1" s="28" customFormat="1" ht="14.4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</row>
    <row r="6" spans="1:11" x14ac:dyDescent="0.3">
      <c r="A6" s="29" t="s">
        <v>46</v>
      </c>
      <c r="B6" s="29" t="s">
        <v>47</v>
      </c>
      <c r="C6" s="29" t="s">
        <v>48</v>
      </c>
      <c r="D6" s="30" t="s">
        <v>49</v>
      </c>
    </row>
    <row r="7" spans="1:11" x14ac:dyDescent="0.3">
      <c r="A7" s="17" t="s">
        <v>50</v>
      </c>
      <c r="B7" s="26">
        <v>10</v>
      </c>
      <c r="C7" s="17">
        <v>12</v>
      </c>
      <c r="D7" s="25" t="str">
        <f>IF(B7&gt;C7,"Exceeded","OK")</f>
        <v>OK</v>
      </c>
    </row>
    <row r="8" spans="1:11" x14ac:dyDescent="0.3">
      <c r="A8" s="17" t="s">
        <v>51</v>
      </c>
      <c r="B8" s="27">
        <v>10</v>
      </c>
      <c r="C8" s="17">
        <v>15</v>
      </c>
      <c r="D8" s="25" t="str">
        <f t="shared" ref="D8:D9" si="0">IF(B8&gt;C8,"Exceeded","OK")</f>
        <v>OK</v>
      </c>
    </row>
    <row r="9" spans="1:11" x14ac:dyDescent="0.3">
      <c r="A9" s="17" t="s">
        <v>52</v>
      </c>
      <c r="B9" s="27">
        <v>8</v>
      </c>
      <c r="C9" s="17">
        <v>12</v>
      </c>
      <c r="D9" s="25" t="str">
        <f t="shared" si="0"/>
        <v>OK</v>
      </c>
    </row>
    <row r="11" spans="1:11" x14ac:dyDescent="0.3">
      <c r="A11" s="31" t="s">
        <v>54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1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1" x14ac:dyDescent="0.3">
      <c r="A13" s="32" t="s">
        <v>29</v>
      </c>
      <c r="B13" s="32" t="s">
        <v>55</v>
      </c>
    </row>
    <row r="14" spans="1:11" x14ac:dyDescent="0.3">
      <c r="A14" s="17" t="s">
        <v>35</v>
      </c>
      <c r="B14" s="26">
        <v>55000</v>
      </c>
      <c r="D14" s="32" t="s">
        <v>29</v>
      </c>
      <c r="E14" s="32" t="s">
        <v>55</v>
      </c>
    </row>
    <row r="15" spans="1:11" x14ac:dyDescent="0.3">
      <c r="A15" s="17" t="s">
        <v>56</v>
      </c>
      <c r="B15" s="27">
        <v>72000</v>
      </c>
      <c r="D15" s="17" t="s">
        <v>56</v>
      </c>
      <c r="E15">
        <f>INDEX(B14:B17,MATCH(D15,A14:A17,0))</f>
        <v>72000</v>
      </c>
    </row>
    <row r="16" spans="1:11" x14ac:dyDescent="0.3">
      <c r="A16" s="17" t="s">
        <v>57</v>
      </c>
      <c r="B16" s="27">
        <v>62000</v>
      </c>
      <c r="D16" s="9" t="s">
        <v>58</v>
      </c>
      <c r="E16" s="9"/>
      <c r="F16" s="9"/>
      <c r="G16" s="9"/>
      <c r="H16" s="9"/>
      <c r="I16" s="9"/>
      <c r="J16" s="9"/>
    </row>
    <row r="17" spans="1:10" x14ac:dyDescent="0.3">
      <c r="A17" s="17" t="s">
        <v>33</v>
      </c>
      <c r="B17" s="27">
        <v>41000</v>
      </c>
      <c r="D17" s="9"/>
      <c r="E17" s="9"/>
      <c r="F17" s="9"/>
      <c r="G17" s="9"/>
      <c r="H17" s="9"/>
      <c r="I17" s="9"/>
      <c r="J17" s="9"/>
    </row>
    <row r="19" spans="1:10" x14ac:dyDescent="0.3">
      <c r="A19" s="31" t="s">
        <v>59</v>
      </c>
      <c r="B19" s="31"/>
      <c r="C19" s="31"/>
      <c r="D19" s="31"/>
      <c r="E19" s="31"/>
      <c r="F19" s="31"/>
      <c r="G19" s="31"/>
      <c r="H19" s="31"/>
    </row>
    <row r="20" spans="1:10" x14ac:dyDescent="0.3">
      <c r="A20" s="31"/>
      <c r="B20" s="31"/>
      <c r="C20" s="31"/>
      <c r="D20" s="31"/>
      <c r="E20" s="31"/>
      <c r="F20" s="31"/>
      <c r="G20" s="31"/>
      <c r="H20" s="31"/>
    </row>
    <row r="21" spans="1:10" x14ac:dyDescent="0.3">
      <c r="A21" s="33" t="s">
        <v>29</v>
      </c>
      <c r="B21" s="33" t="s">
        <v>31</v>
      </c>
      <c r="D21" s="33" t="s">
        <v>29</v>
      </c>
      <c r="E21" s="33" t="s">
        <v>31</v>
      </c>
    </row>
    <row r="22" spans="1:10" x14ac:dyDescent="0.3">
      <c r="A22" s="34" t="s">
        <v>32</v>
      </c>
      <c r="B22" s="16" t="s">
        <v>39</v>
      </c>
      <c r="D22" s="34" t="s">
        <v>60</v>
      </c>
      <c r="E22" t="str">
        <f>_xlfn.XLOOKUP(D22,A22:A25,B22:B25,"NOT FOUND",0)</f>
        <v>IT</v>
      </c>
    </row>
    <row r="23" spans="1:10" x14ac:dyDescent="0.3">
      <c r="A23" s="34" t="s">
        <v>60</v>
      </c>
      <c r="B23" s="19" t="s">
        <v>38</v>
      </c>
    </row>
    <row r="24" spans="1:10" x14ac:dyDescent="0.3">
      <c r="A24" s="34" t="s">
        <v>57</v>
      </c>
      <c r="B24" s="19" t="s">
        <v>12</v>
      </c>
      <c r="D24" s="35" t="s">
        <v>62</v>
      </c>
      <c r="E24" s="35"/>
      <c r="F24" s="35"/>
      <c r="G24" s="35"/>
      <c r="H24" s="35"/>
      <c r="I24" s="35"/>
      <c r="J24" s="35"/>
    </row>
    <row r="25" spans="1:10" x14ac:dyDescent="0.3">
      <c r="A25" s="34" t="s">
        <v>61</v>
      </c>
      <c r="B25" s="19" t="s">
        <v>40</v>
      </c>
      <c r="D25" s="35"/>
      <c r="E25" s="35"/>
      <c r="F25" s="35"/>
      <c r="G25" s="35"/>
      <c r="H25" s="35"/>
      <c r="I25" s="35"/>
      <c r="J25" s="35"/>
    </row>
  </sheetData>
  <mergeCells count="5">
    <mergeCell ref="A19:H20"/>
    <mergeCell ref="D24:J25"/>
    <mergeCell ref="A1:J5"/>
    <mergeCell ref="A11:K12"/>
    <mergeCell ref="D16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Kumar Lal Das</dc:creator>
  <cp:lastModifiedBy>Hemant Kumar Lal Das</cp:lastModifiedBy>
  <dcterms:created xsi:type="dcterms:W3CDTF">2026-01-19T18:16:42Z</dcterms:created>
  <dcterms:modified xsi:type="dcterms:W3CDTF">2026-01-20T14:31:18Z</dcterms:modified>
</cp:coreProperties>
</file>